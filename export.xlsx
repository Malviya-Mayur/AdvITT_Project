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Risk Assessment" sheetId="2" state="visible" r:id="rId2"/>
    <sheet name="Ann 1" sheetId="3" state="visible" r:id="rId3"/>
    <sheet name="Ann 2" sheetId="4" state="visible" r:id="rId4"/>
    <sheet name="Ann 4" sheetId="5" state="visible" r:id="rId5"/>
    <sheet name="Ann 5" sheetId="6" state="visible" r:id="rId6"/>
    <sheet name="Ann 6" sheetId="7" state="visible" r:id="rId7"/>
    <sheet name="Ann 7" sheetId="8" state="visible" r:id="rId8"/>
    <sheet name="Ann 8" sheetId="9" state="visible" r:id="rId9"/>
    <sheet name="Ann 9" sheetId="10" state="visible" r:id="rId10"/>
    <sheet name="Ann 10" sheetId="11" state="visible" r:id="rId11"/>
    <sheet name="Ann 11" sheetId="12" state="visible" r:id="rId12"/>
    <sheet name="Ann 12" sheetId="13" state="visible" r:id="rId13"/>
    <sheet name="Ann 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Benford's Law: Actual vs Expected</a:t>
            </a:r>
          </a:p>
        </rich>
      </tx>
    </title>
    <plotArea>
      <lineChart>
        <grouping val="standard"/>
        <ser>
          <idx val="0"/>
          <order val="0"/>
          <tx>
            <strRef>
              <f>'Risk Assessment'!C3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'Risk Assessment'!$A$4:$A$12</f>
            </numRef>
          </cat>
          <val>
            <numRef>
              <f>'Risk Assessment'!$C$4:$C$12</f>
            </numRef>
          </val>
        </ser>
        <ser>
          <idx val="1"/>
          <order val="1"/>
          <tx>
            <strRef>
              <f>'Risk Assessment'!D3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'Risk Assessment'!$A$4:$A$12</f>
            </numRef>
          </cat>
          <val>
            <numRef>
              <f>'Risk Assessment'!$D$4:$D$12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Leading Digit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Payments more than 10K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 2'!R3</f>
            </strRef>
          </tx>
          <spPr>
            <a:ln>
              <a:prstDash val="solid"/>
            </a:ln>
          </spPr>
          <cat>
            <numRef>
              <f>'Ann 2'!$Q$4:$Q$8</f>
            </numRef>
          </cat>
          <val>
            <numRef>
              <f>'Ann 2'!$R$4:$R$8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 10'!B3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 10'!$A$4:$A$15</f>
            </numRef>
          </cat>
          <val>
            <numRef>
              <f>'Ann 10'!$B$4:$B$15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Spread (Top 10 + Other)</a:t>
            </a:r>
          </a:p>
        </rich>
      </tx>
    </title>
    <plotArea>
      <pieChart>
        <varyColors val="1"/>
        <ser>
          <idx val="0"/>
          <order val="0"/>
          <tx>
            <strRef>
              <f>'Ann 11'!E3</f>
            </strRef>
          </tx>
          <spPr>
            <a:ln>
              <a:prstDash val="solid"/>
            </a:ln>
          </spPr>
          <cat>
            <numRef>
              <f>'Ann 11'!$D$4:$D$14</f>
            </numRef>
          </cat>
          <val>
            <numRef>
              <f>'Ann 11'!$E$4:$E$14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12" customWidth="1" min="3" max="3"/>
    <col width="40" customWidth="1" min="4" max="4"/>
    <col width="15" customWidth="1" min="5" max="5"/>
  </cols>
  <sheetData>
    <row r="1">
      <c r="A1" s="1" t="inlineStr">
        <is>
          <t>Audit Observations Summary</t>
        </is>
      </c>
    </row>
    <row r="3">
      <c r="A3" s="2" t="inlineStr">
        <is>
          <t>Sr. No.</t>
        </is>
      </c>
      <c r="B3" s="2" t="inlineStr">
        <is>
          <t>Observations</t>
        </is>
      </c>
      <c r="C3" s="2" t="inlineStr">
        <is>
          <t>Reference</t>
        </is>
      </c>
      <c r="D3" s="2" t="inlineStr">
        <is>
          <t>Client's comments</t>
        </is>
      </c>
      <c r="E3" s="2" t="inlineStr">
        <is>
          <t>Status</t>
        </is>
      </c>
    </row>
    <row r="4">
      <c r="A4" s="3" t="n">
        <v>1</v>
      </c>
      <c r="B4" s="3" t="inlineStr">
        <is>
          <t>As part of the risk assessment, Benford's Law analysis was performed on the dataset to identify any statistical anomalies in leading digit frequencies.</t>
        </is>
      </c>
      <c r="C4" s="3" t="inlineStr">
        <is>
          <t>Risk Assessment</t>
        </is>
      </c>
      <c r="D4" s="3" t="inlineStr"/>
      <c r="E4" s="3" t="inlineStr"/>
    </row>
    <row r="5">
      <c r="A5" s="3" t="n">
        <v>2</v>
      </c>
      <c r="B5" s="3" t="inlineStr">
        <is>
          <t>During the review of cash ledgers, instances of negative running cash balances were identified during the financial year.</t>
        </is>
      </c>
      <c r="C5" s="3" t="inlineStr">
        <is>
          <t>Ann 1</t>
        </is>
      </c>
      <c r="D5" s="3" t="inlineStr"/>
      <c r="E5" s="3" t="inlineStr"/>
    </row>
    <row r="6">
      <c r="A6" s="3" t="n">
        <v>3</v>
      </c>
      <c r="B6" s="3" t="inlineStr">
        <is>
          <t>During the review of cash payments exceeding 10,000, 16 instances were identified involving a total amount of 449,240.00.</t>
        </is>
      </c>
      <c r="C6" s="3" t="inlineStr">
        <is>
          <t>Ann 2</t>
        </is>
      </c>
      <c r="D6" s="3" t="inlineStr"/>
      <c r="E6" s="3" t="inlineStr"/>
    </row>
    <row r="7">
      <c r="A7" s="3" t="n">
        <v>4</v>
      </c>
      <c r="B7" s="3" t="inlineStr">
        <is>
          <t>No instances of cash receipts exceeding 2 Lakhs were observed during the financial year.</t>
        </is>
      </c>
      <c r="C7" s="3" t="inlineStr">
        <is>
          <t>N/A</t>
        </is>
      </c>
      <c r="D7" s="3" t="inlineStr"/>
      <c r="E7" s="3" t="inlineStr"/>
    </row>
    <row r="8">
      <c r="A8" s="3" t="n">
        <v>5</v>
      </c>
      <c r="B8" s="3" t="inlineStr">
        <is>
          <t>During the review of party-wise aggregate cash payments, 1 instances were identified involving a total amount of 200,000.00.</t>
        </is>
      </c>
      <c r="C8" s="3" t="inlineStr">
        <is>
          <t>Ann 4</t>
        </is>
      </c>
      <c r="D8" s="3" t="inlineStr"/>
      <c r="E8" s="3" t="inlineStr"/>
    </row>
    <row r="9">
      <c r="A9" s="3" t="n">
        <v>6</v>
      </c>
      <c r="B9" s="3" t="inlineStr">
        <is>
          <t>During the review of cash payments, 1 unmapped direct cash expense entries were identified involving an aggregated total amount of 1,004,000.00.</t>
        </is>
      </c>
      <c r="C9" s="3" t="inlineStr">
        <is>
          <t>Ann 4</t>
        </is>
      </c>
      <c r="D9" s="3" t="inlineStr"/>
      <c r="E9" s="3" t="inlineStr"/>
    </row>
    <row r="10">
      <c r="A10" s="3" t="n">
        <v>7</v>
      </c>
      <c r="B10" s="3" t="inlineStr">
        <is>
          <t>Provide Bank statements of the following accounts:
• HDFC Bank - Current A/c
• ICICI Bank - Current A/c</t>
        </is>
      </c>
      <c r="C10" s="3" t="inlineStr">
        <is>
          <t>Ann 5</t>
        </is>
      </c>
      <c r="D10" s="3" t="inlineStr"/>
      <c r="E10" s="3" t="inlineStr"/>
    </row>
    <row r="11">
      <c r="A11" s="3" t="n">
        <v>8</v>
      </c>
      <c r="B11" s="3" t="inlineStr">
        <is>
          <t>During the review of sundry creditors, 3 ledgers were identified with no movement during the financial year, involving an aggregate closing balance of 205,000.00.</t>
        </is>
      </c>
      <c r="C11" s="3" t="inlineStr">
        <is>
          <t>Ann 6</t>
        </is>
      </c>
      <c r="D11" s="3" t="inlineStr"/>
      <c r="E11" s="3" t="inlineStr"/>
    </row>
    <row r="12">
      <c r="A12" s="3" t="n">
        <v>9</v>
      </c>
      <c r="B12" s="3" t="inlineStr">
        <is>
          <t>During the review of sundry debtors, 2 ledgers were identified with no movement during the financial year, involving an aggregate closing balance of 205,000.00.</t>
        </is>
      </c>
      <c r="C12" s="3" t="inlineStr">
        <is>
          <t>Ann 7</t>
        </is>
      </c>
      <c r="D12" s="3" t="inlineStr"/>
      <c r="E12" s="3" t="inlineStr"/>
    </row>
    <row r="13">
      <c r="A13" s="3" t="n">
        <v>10</v>
      </c>
      <c r="B13" s="3" t="inlineStr">
        <is>
          <t>During the review of sundry creditors, 3 ledgers were identified with a debit closing balance, involving an aggregate amount of 470,001.00.</t>
        </is>
      </c>
      <c r="C13" s="3" t="inlineStr">
        <is>
          <t>Ann 8</t>
        </is>
      </c>
      <c r="D13" s="3" t="inlineStr"/>
      <c r="E13" s="3" t="inlineStr"/>
    </row>
    <row r="14">
      <c r="A14" s="3" t="n">
        <v>11</v>
      </c>
      <c r="B14" s="3" t="inlineStr">
        <is>
          <t>During the review of sundry debtors, 2 ledgers were identified with a credit closing balance, involving an aggregate amount of 73,348.00.</t>
        </is>
      </c>
      <c r="C14" s="3" t="inlineStr">
        <is>
          <t>Ann 9</t>
        </is>
      </c>
      <c r="D14" s="3" t="inlineStr"/>
      <c r="E14" s="3" t="inlineStr"/>
    </row>
    <row r="15">
      <c r="A15" s="3" t="n">
        <v>12</v>
      </c>
      <c r="B15" s="3" t="inlineStr">
        <is>
          <t>During the analytical review of sales, a monthly sales trend analysis was performed involving a total aggregated turnover of 39,786,041.00.</t>
        </is>
      </c>
      <c r="C15" s="3" t="inlineStr">
        <is>
          <t>Ann 10</t>
        </is>
      </c>
      <c r="D15" s="3" t="inlineStr"/>
      <c r="E15" s="3" t="inlineStr"/>
    </row>
    <row r="16">
      <c r="A16" s="3" t="n">
        <v>13</v>
      </c>
      <c r="B16" s="3" t="inlineStr">
        <is>
          <t>During the analytical review of sales, party-wise sales distribution was extracted spanning 24 parties (including cash sales) with a total aggregated amount of 39,786,041.00.</t>
        </is>
      </c>
      <c r="C16" s="3" t="inlineStr">
        <is>
          <t>Ann 11</t>
        </is>
      </c>
      <c r="D16" s="3" t="inlineStr"/>
      <c r="E16" s="3" t="inlineStr"/>
    </row>
    <row r="17">
      <c r="A17" s="3" t="n">
        <v>14</v>
      </c>
      <c r="B17" s="3" t="inlineStr">
        <is>
          <t>During the master data review, 44 party ledger instances were extracted and validated for PAN and GSTIN compliance.</t>
        </is>
      </c>
      <c r="C17" s="3" t="inlineStr">
        <is>
          <t>Ann 12</t>
        </is>
      </c>
      <c r="D17" s="3" t="inlineStr"/>
      <c r="E17" s="3" t="inlineStr"/>
    </row>
    <row r="18">
      <c r="A18" s="3" t="n">
        <v>15</v>
      </c>
      <c r="B18" s="3" t="inlineStr">
        <is>
          <t>During the review for Tax Audit Clause 31a and 31c, 1 parties were identified involving loan transactions, with total proceeds of 0.00 and total repayments of 339,486.00.</t>
        </is>
      </c>
      <c r="C18" s="3" t="inlineStr">
        <is>
          <t>Ann 13</t>
        </is>
      </c>
      <c r="D18" s="3" t="inlineStr"/>
      <c r="E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Risk Assessment - Benford's Law</t>
        </is>
      </c>
    </row>
    <row r="2"/>
    <row r="3">
      <c r="A3" s="2" t="inlineStr">
        <is>
          <t>Leading_Digit</t>
        </is>
      </c>
      <c r="B3" s="2" t="inlineStr">
        <is>
          <t>Actual_Count</t>
        </is>
      </c>
      <c r="C3" s="2" t="inlineStr">
        <is>
          <t>Actual_Percentage</t>
        </is>
      </c>
      <c r="D3" s="2" t="inlineStr">
        <is>
          <t>Expected_Percentage</t>
        </is>
      </c>
      <c r="E3" s="2" t="inlineStr">
        <is>
          <t>Variance_Percentage</t>
        </is>
      </c>
    </row>
    <row r="4">
      <c r="A4" t="inlineStr">
        <is>
          <t>1</t>
        </is>
      </c>
      <c r="B4" t="n">
        <v>1560</v>
      </c>
      <c r="C4" s="4" t="n">
        <v>27.78</v>
      </c>
      <c r="D4" s="4" t="n">
        <v>30.1</v>
      </c>
      <c r="E4" s="4" t="n">
        <v>-2.32</v>
      </c>
    </row>
    <row r="5">
      <c r="A5" t="inlineStr">
        <is>
          <t>2</t>
        </is>
      </c>
      <c r="B5" t="n">
        <v>1107</v>
      </c>
      <c r="C5" s="4" t="n">
        <v>19.72</v>
      </c>
      <c r="D5" s="4" t="n">
        <v>17.61</v>
      </c>
      <c r="E5" s="4" t="n">
        <v>2.11</v>
      </c>
    </row>
    <row r="6">
      <c r="A6" t="inlineStr">
        <is>
          <t>3</t>
        </is>
      </c>
      <c r="B6" t="n">
        <v>656</v>
      </c>
      <c r="C6" s="4" t="n">
        <v>11.68</v>
      </c>
      <c r="D6" s="4" t="n">
        <v>12.49</v>
      </c>
      <c r="E6" s="4" t="n">
        <v>-0.8100000000000001</v>
      </c>
    </row>
    <row r="7">
      <c r="A7" t="inlineStr">
        <is>
          <t>4</t>
        </is>
      </c>
      <c r="B7" t="n">
        <v>467</v>
      </c>
      <c r="C7" s="4" t="n">
        <v>8.32</v>
      </c>
      <c r="D7" s="4" t="n">
        <v>9.69</v>
      </c>
      <c r="E7" s="4" t="n">
        <v>-1.37</v>
      </c>
    </row>
    <row r="8">
      <c r="A8" t="inlineStr">
        <is>
          <t>5</t>
        </is>
      </c>
      <c r="B8" t="n">
        <v>620</v>
      </c>
      <c r="C8" s="4" t="n">
        <v>11.04</v>
      </c>
      <c r="D8" s="4" t="n">
        <v>7.92</v>
      </c>
      <c r="E8" s="4" t="n">
        <v>3.12</v>
      </c>
    </row>
    <row r="9">
      <c r="A9" t="inlineStr">
        <is>
          <t>6</t>
        </is>
      </c>
      <c r="B9" t="n">
        <v>419</v>
      </c>
      <c r="C9" s="4" t="n">
        <v>7.46</v>
      </c>
      <c r="D9" s="4" t="n">
        <v>6.69</v>
      </c>
      <c r="E9" s="4" t="n">
        <v>0.77</v>
      </c>
    </row>
    <row r="10">
      <c r="A10" t="inlineStr">
        <is>
          <t>7</t>
        </is>
      </c>
      <c r="B10" t="n">
        <v>331</v>
      </c>
      <c r="C10" s="4" t="n">
        <v>5.89</v>
      </c>
      <c r="D10" s="4" t="n">
        <v>5.8</v>
      </c>
      <c r="E10" s="4" t="n">
        <v>0.1</v>
      </c>
    </row>
    <row r="11">
      <c r="A11" t="inlineStr">
        <is>
          <t>8</t>
        </is>
      </c>
      <c r="B11" t="n">
        <v>232</v>
      </c>
      <c r="C11" s="4" t="n">
        <v>4.13</v>
      </c>
      <c r="D11" s="4" t="n">
        <v>5.12</v>
      </c>
      <c r="E11" s="4" t="n">
        <v>-0.98</v>
      </c>
    </row>
    <row r="12">
      <c r="A12" t="inlineStr">
        <is>
          <t>9</t>
        </is>
      </c>
      <c r="B12" t="n">
        <v>223</v>
      </c>
      <c r="C12" s="4" t="n">
        <v>3.97</v>
      </c>
      <c r="D12" s="4" t="n">
        <v>4.58</v>
      </c>
      <c r="E12" s="4" t="n">
        <v>-0.6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3" customWidth="1" min="4" max="4"/>
    <col width="9" customWidth="1" min="5" max="5"/>
    <col width="11" customWidth="1" min="6" max="6"/>
    <col width="14" customWidth="1" min="7" max="7"/>
    <col width="16" customWidth="1" min="8" max="8"/>
    <col width="17" customWidth="1" min="9" max="9"/>
    <col width="6" customWidth="1" min="10" max="10"/>
    <col width="8" customWidth="1" min="11" max="11"/>
    <col width="15" customWidth="1" min="12" max="12"/>
    <col width="14" customWidth="1" min="13" max="13"/>
    <col width="8" customWidth="1" min="14" max="14"/>
    <col width="12" customWidth="1" min="15" max="15"/>
    <col width="18" customWidth="1" min="16" max="16"/>
  </cols>
  <sheetData>
    <row r="1">
      <c r="A1" s="1" t="inlineStr">
        <is>
          <t>Ann 1 - Negative Cash Balances</t>
        </is>
      </c>
    </row>
    <row r="2"/>
    <row r="3">
      <c r="A3" s="2" t="inlineStr">
        <is>
          <t>ID</t>
        </is>
      </c>
      <c r="B3" s="2" t="inlineStr">
        <is>
          <t>Date</t>
        </is>
      </c>
      <c r="C3" s="2" t="inlineStr">
        <is>
          <t>Voucher_Type</t>
        </is>
      </c>
      <c r="D3" s="2" t="inlineStr">
        <is>
          <t>Voucher_No</t>
        </is>
      </c>
      <c r="E3" s="2" t="inlineStr">
        <is>
          <t>Ref_No</t>
        </is>
      </c>
      <c r="F3" s="2" t="inlineStr">
        <is>
          <t>Agst_Ref</t>
        </is>
      </c>
      <c r="G3" s="2" t="inlineStr">
        <is>
          <t>Ledger_Name</t>
        </is>
      </c>
      <c r="H3" s="2" t="inlineStr">
        <is>
          <t>Party_Name</t>
        </is>
      </c>
      <c r="I3" s="2" t="inlineStr">
        <is>
          <t>Party_Group</t>
        </is>
      </c>
      <c r="J3" s="2" t="inlineStr">
        <is>
          <t>PAN</t>
        </is>
      </c>
      <c r="K3" s="2" t="inlineStr">
        <is>
          <t>GSTIN</t>
        </is>
      </c>
      <c r="L3" s="2" t="inlineStr">
        <is>
          <t>Parent_Group</t>
        </is>
      </c>
      <c r="M3" s="2" t="inlineStr">
        <is>
          <t>Amount</t>
        </is>
      </c>
      <c r="N3" s="2" t="inlineStr">
        <is>
          <t>Dr_Cr</t>
        </is>
      </c>
      <c r="O3" s="2" t="inlineStr">
        <is>
          <t>Narration</t>
        </is>
      </c>
      <c r="P3" s="2" t="inlineStr">
        <is>
          <t>Running_Balance</t>
        </is>
      </c>
    </row>
    <row r="4">
      <c r="A4" t="inlineStr">
        <is>
          <t>2016</t>
        </is>
      </c>
      <c r="B4" s="5" t="n">
        <v>45870</v>
      </c>
      <c r="C4" t="inlineStr">
        <is>
          <t>Payment</t>
        </is>
      </c>
      <c r="D4" t="inlineStr">
        <is>
          <t>667</t>
        </is>
      </c>
      <c r="E4" t="inlineStr"/>
      <c r="F4" t="inlineStr"/>
      <c r="G4" t="inlineStr">
        <is>
          <t>Petty Cash</t>
        </is>
      </c>
      <c r="H4" t="inlineStr">
        <is>
          <t>Ceramic Point</t>
        </is>
      </c>
      <c r="I4" t="inlineStr">
        <is>
          <t>Sundry Debtors</t>
        </is>
      </c>
      <c r="J4" t="inlineStr"/>
      <c r="K4" t="inlineStr"/>
      <c r="L4" t="inlineStr">
        <is>
          <t>Cash-in-Hand</t>
        </is>
      </c>
      <c r="M4" s="4" t="n">
        <v>-200000</v>
      </c>
      <c r="N4" t="inlineStr">
        <is>
          <t>Cr</t>
        </is>
      </c>
      <c r="O4" t="inlineStr"/>
      <c r="P4" s="4" t="n">
        <v>-81275</v>
      </c>
    </row>
    <row r="5">
      <c r="A5" t="inlineStr">
        <is>
          <t>1352</t>
        </is>
      </c>
      <c r="B5" s="5" t="n">
        <v>45992</v>
      </c>
      <c r="C5" t="inlineStr">
        <is>
          <t>Contra</t>
        </is>
      </c>
      <c r="D5" t="inlineStr">
        <is>
          <t>56</t>
        </is>
      </c>
      <c r="E5" t="inlineStr"/>
      <c r="F5" t="inlineStr"/>
      <c r="G5" t="inlineStr">
        <is>
          <t>Petty Cash</t>
        </is>
      </c>
      <c r="H5" t="inlineStr"/>
      <c r="I5" t="inlineStr"/>
      <c r="J5" t="inlineStr"/>
      <c r="K5" t="inlineStr"/>
      <c r="L5" t="inlineStr">
        <is>
          <t>Cash-in-Hand</t>
        </is>
      </c>
      <c r="M5" s="4" t="n">
        <v>19278</v>
      </c>
      <c r="N5" t="inlineStr">
        <is>
          <t>Dr</t>
        </is>
      </c>
      <c r="O5" t="inlineStr"/>
      <c r="P5" s="4" t="n">
        <v>-61997</v>
      </c>
    </row>
    <row r="6">
      <c r="A6" t="inlineStr">
        <is>
          <t>1375</t>
        </is>
      </c>
      <c r="B6" s="5" t="n">
        <v>45992</v>
      </c>
      <c r="C6" t="inlineStr">
        <is>
          <t>Contra</t>
        </is>
      </c>
      <c r="D6" t="inlineStr">
        <is>
          <t>59</t>
        </is>
      </c>
      <c r="E6" t="inlineStr"/>
      <c r="F6" t="inlineStr"/>
      <c r="G6" t="inlineStr">
        <is>
          <t>Petty Cash</t>
        </is>
      </c>
      <c r="H6" t="inlineStr"/>
      <c r="I6" t="inlineStr"/>
      <c r="J6" t="inlineStr"/>
      <c r="K6" t="inlineStr"/>
      <c r="L6" t="inlineStr">
        <is>
          <t>Cash-in-Hand</t>
        </is>
      </c>
      <c r="M6" s="4" t="n">
        <v>12617</v>
      </c>
      <c r="N6" t="inlineStr">
        <is>
          <t>Dr</t>
        </is>
      </c>
      <c r="O6" t="inlineStr"/>
      <c r="P6" s="4" t="n">
        <v>-49380</v>
      </c>
    </row>
    <row r="7">
      <c r="A7" t="inlineStr">
        <is>
          <t>1428</t>
        </is>
      </c>
      <c r="B7" s="5" t="n">
        <v>45992</v>
      </c>
      <c r="C7" t="inlineStr">
        <is>
          <t>Contra</t>
        </is>
      </c>
      <c r="D7" t="inlineStr">
        <is>
          <t>60</t>
        </is>
      </c>
      <c r="E7" t="inlineStr"/>
      <c r="F7" t="inlineStr"/>
      <c r="G7" t="inlineStr">
        <is>
          <t>Petty Cash</t>
        </is>
      </c>
      <c r="H7" t="inlineStr"/>
      <c r="I7" t="inlineStr"/>
      <c r="J7" t="inlineStr"/>
      <c r="K7" t="inlineStr"/>
      <c r="L7" t="inlineStr">
        <is>
          <t>Cash-in-Hand</t>
        </is>
      </c>
      <c r="M7" s="4" t="n">
        <v>10523</v>
      </c>
      <c r="N7" t="inlineStr">
        <is>
          <t>Dr</t>
        </is>
      </c>
      <c r="O7" t="inlineStr"/>
      <c r="P7" s="4" t="n">
        <v>-38857</v>
      </c>
    </row>
    <row r="8">
      <c r="A8" t="inlineStr">
        <is>
          <t>1461</t>
        </is>
      </c>
      <c r="B8" s="5" t="n">
        <v>46023</v>
      </c>
      <c r="C8" t="inlineStr">
        <is>
          <t>Contra</t>
        </is>
      </c>
      <c r="D8" t="inlineStr">
        <is>
          <t>62</t>
        </is>
      </c>
      <c r="E8" t="inlineStr"/>
      <c r="F8" t="inlineStr"/>
      <c r="G8" t="inlineStr">
        <is>
          <t>Petty Cash</t>
        </is>
      </c>
      <c r="H8" t="inlineStr"/>
      <c r="I8" t="inlineStr"/>
      <c r="J8" t="inlineStr"/>
      <c r="K8" t="inlineStr"/>
      <c r="L8" t="inlineStr">
        <is>
          <t>Cash-in-Hand</t>
        </is>
      </c>
      <c r="M8" s="4" t="n">
        <v>20472</v>
      </c>
      <c r="N8" t="inlineStr">
        <is>
          <t>Dr</t>
        </is>
      </c>
      <c r="O8" t="inlineStr"/>
      <c r="P8" s="4" t="n">
        <v>-18385</v>
      </c>
    </row>
    <row r="9">
      <c r="A9" t="inlineStr">
        <is>
          <t>1475</t>
        </is>
      </c>
      <c r="B9" s="5" t="n">
        <v>46023</v>
      </c>
      <c r="C9" t="inlineStr">
        <is>
          <t>Contra</t>
        </is>
      </c>
      <c r="D9" t="inlineStr">
        <is>
          <t>63</t>
        </is>
      </c>
      <c r="E9" t="inlineStr"/>
      <c r="F9" t="inlineStr"/>
      <c r="G9" t="inlineStr">
        <is>
          <t>Petty Cash</t>
        </is>
      </c>
      <c r="H9" t="inlineStr"/>
      <c r="I9" t="inlineStr"/>
      <c r="J9" t="inlineStr"/>
      <c r="K9" t="inlineStr"/>
      <c r="L9" t="inlineStr">
        <is>
          <t>Cash-in-Hand</t>
        </is>
      </c>
      <c r="M9" s="4" t="n">
        <v>12470</v>
      </c>
      <c r="N9" t="inlineStr">
        <is>
          <t>Dr</t>
        </is>
      </c>
      <c r="O9" t="inlineStr"/>
      <c r="P9" s="4" t="n">
        <v>-5915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3" customWidth="1" min="4" max="4"/>
    <col width="9" customWidth="1" min="5" max="5"/>
    <col width="11" customWidth="1" min="6" max="6"/>
    <col width="14" customWidth="1" min="7" max="7"/>
    <col width="16" customWidth="1" min="8" max="8"/>
    <col width="17" customWidth="1" min="9" max="9"/>
    <col width="6" customWidth="1" min="10" max="10"/>
    <col width="8" customWidth="1" min="11" max="11"/>
    <col width="15" customWidth="1" min="12" max="12"/>
    <col width="14" customWidth="1" min="13" max="13"/>
    <col width="8" customWidth="1" min="14" max="14"/>
    <col width="12" customWidth="1" min="15" max="15"/>
  </cols>
  <sheetData>
    <row r="1">
      <c r="A1" s="1" t="inlineStr">
        <is>
          <t>Ann 2 - Cash Payments more than 10K</t>
        </is>
      </c>
    </row>
    <row r="2"/>
    <row r="3">
      <c r="A3" s="2" t="inlineStr">
        <is>
          <t>ID</t>
        </is>
      </c>
      <c r="B3" s="2" t="inlineStr">
        <is>
          <t>Date</t>
        </is>
      </c>
      <c r="C3" s="2" t="inlineStr">
        <is>
          <t>Voucher_Type</t>
        </is>
      </c>
      <c r="D3" s="2" t="inlineStr">
        <is>
          <t>Voucher_No</t>
        </is>
      </c>
      <c r="E3" s="2" t="inlineStr">
        <is>
          <t>Ref_No</t>
        </is>
      </c>
      <c r="F3" s="2" t="inlineStr">
        <is>
          <t>Agst_Ref</t>
        </is>
      </c>
      <c r="G3" s="2" t="inlineStr">
        <is>
          <t>Ledger_Name</t>
        </is>
      </c>
      <c r="H3" s="2" t="inlineStr">
        <is>
          <t>Party_Name</t>
        </is>
      </c>
      <c r="I3" s="2" t="inlineStr">
        <is>
          <t>Party_Group</t>
        </is>
      </c>
      <c r="J3" s="2" t="inlineStr">
        <is>
          <t>PAN</t>
        </is>
      </c>
      <c r="K3" s="2" t="inlineStr">
        <is>
          <t>GSTIN</t>
        </is>
      </c>
      <c r="L3" s="2" t="inlineStr">
        <is>
          <t>Parent_Group</t>
        </is>
      </c>
      <c r="M3" s="2" t="inlineStr">
        <is>
          <t>Amount</t>
        </is>
      </c>
      <c r="N3" s="2" t="inlineStr">
        <is>
          <t>Dr_Cr</t>
        </is>
      </c>
      <c r="O3" s="2" t="inlineStr">
        <is>
          <t>Narration</t>
        </is>
      </c>
      <c r="Q3" s="6" t="inlineStr">
        <is>
          <t>Month</t>
        </is>
      </c>
      <c r="R3" s="6" t="inlineStr">
        <is>
          <t>Total Amount</t>
        </is>
      </c>
    </row>
    <row r="4">
      <c r="A4" t="inlineStr">
        <is>
          <t>80</t>
        </is>
      </c>
      <c r="B4" s="5" t="n">
        <v>45748</v>
      </c>
      <c r="C4" t="inlineStr">
        <is>
          <t>Payment</t>
        </is>
      </c>
      <c r="D4" t="inlineStr">
        <is>
          <t>31</t>
        </is>
      </c>
      <c r="E4" t="inlineStr"/>
      <c r="F4" t="inlineStr"/>
      <c r="G4" t="inlineStr">
        <is>
          <t>Cash</t>
        </is>
      </c>
      <c r="H4" t="inlineStr"/>
      <c r="I4" t="inlineStr"/>
      <c r="J4" t="inlineStr"/>
      <c r="K4" t="inlineStr"/>
      <c r="L4" t="inlineStr">
        <is>
          <t>Cash-in-Hand</t>
        </is>
      </c>
      <c r="M4" s="4" t="n">
        <v>-19339</v>
      </c>
      <c r="N4" t="inlineStr">
        <is>
          <t>Cr</t>
        </is>
      </c>
      <c r="O4" t="inlineStr"/>
      <c r="Q4" t="inlineStr">
        <is>
          <t>2025-04</t>
        </is>
      </c>
      <c r="R4" s="4" t="n">
        <v>19339</v>
      </c>
    </row>
    <row r="5">
      <c r="A5" t="inlineStr">
        <is>
          <t>567</t>
        </is>
      </c>
      <c r="B5" s="5" t="n">
        <v>45839</v>
      </c>
      <c r="C5" t="inlineStr">
        <is>
          <t>Payment</t>
        </is>
      </c>
      <c r="D5" t="inlineStr">
        <is>
          <t>190</t>
        </is>
      </c>
      <c r="E5" t="inlineStr"/>
      <c r="F5" t="inlineStr"/>
      <c r="G5" t="inlineStr">
        <is>
          <t>Cash</t>
        </is>
      </c>
      <c r="H5" t="inlineStr"/>
      <c r="I5" t="inlineStr"/>
      <c r="J5" t="inlineStr"/>
      <c r="K5" t="inlineStr"/>
      <c r="L5" t="inlineStr">
        <is>
          <t>Cash-in-Hand</t>
        </is>
      </c>
      <c r="M5" s="4" t="n">
        <v>-28254</v>
      </c>
      <c r="N5" t="inlineStr">
        <is>
          <t>Cr</t>
        </is>
      </c>
      <c r="O5" t="inlineStr"/>
      <c r="Q5" t="inlineStr">
        <is>
          <t>2025-07</t>
        </is>
      </c>
      <c r="R5" s="4" t="n">
        <v>41272</v>
      </c>
    </row>
    <row r="6">
      <c r="A6" t="inlineStr">
        <is>
          <t>607</t>
        </is>
      </c>
      <c r="B6" s="5" t="n">
        <v>45839</v>
      </c>
      <c r="C6" t="inlineStr">
        <is>
          <t>Payment</t>
        </is>
      </c>
      <c r="D6" t="inlineStr">
        <is>
          <t>207</t>
        </is>
      </c>
      <c r="E6" t="inlineStr"/>
      <c r="F6" t="inlineStr"/>
      <c r="G6" t="inlineStr">
        <is>
          <t>Cash</t>
        </is>
      </c>
      <c r="H6" t="inlineStr"/>
      <c r="I6" t="inlineStr"/>
      <c r="J6" t="inlineStr"/>
      <c r="K6" t="inlineStr"/>
      <c r="L6" t="inlineStr">
        <is>
          <t>Cash-in-Hand</t>
        </is>
      </c>
      <c r="M6" s="4" t="n">
        <v>-13018</v>
      </c>
      <c r="N6" t="inlineStr">
        <is>
          <t>Cr</t>
        </is>
      </c>
      <c r="O6" t="inlineStr"/>
      <c r="Q6" t="inlineStr">
        <is>
          <t>2025-08</t>
        </is>
      </c>
      <c r="R6" s="4" t="n">
        <v>200000</v>
      </c>
    </row>
    <row r="7">
      <c r="A7" t="inlineStr">
        <is>
          <t>2016</t>
        </is>
      </c>
      <c r="B7" s="5" t="n">
        <v>45870</v>
      </c>
      <c r="C7" t="inlineStr">
        <is>
          <t>Payment</t>
        </is>
      </c>
      <c r="D7" t="inlineStr">
        <is>
          <t>667</t>
        </is>
      </c>
      <c r="E7" t="inlineStr"/>
      <c r="F7" t="inlineStr"/>
      <c r="G7" t="inlineStr">
        <is>
          <t>Petty Cash</t>
        </is>
      </c>
      <c r="H7" t="inlineStr">
        <is>
          <t>Ceramic Point</t>
        </is>
      </c>
      <c r="I7" t="inlineStr">
        <is>
          <t>Sundry Debtors</t>
        </is>
      </c>
      <c r="J7" t="inlineStr"/>
      <c r="K7" t="inlineStr"/>
      <c r="L7" t="inlineStr">
        <is>
          <t>Cash-in-Hand</t>
        </is>
      </c>
      <c r="M7" s="4" t="n">
        <v>-200000</v>
      </c>
      <c r="N7" t="inlineStr">
        <is>
          <t>Cr</t>
        </is>
      </c>
      <c r="O7" t="inlineStr"/>
      <c r="Q7" t="inlineStr">
        <is>
          <t>2025-10</t>
        </is>
      </c>
      <c r="R7" s="4" t="n">
        <v>72178</v>
      </c>
    </row>
    <row r="8">
      <c r="A8" t="inlineStr">
        <is>
          <t>987</t>
        </is>
      </c>
      <c r="B8" s="5" t="n">
        <v>45931</v>
      </c>
      <c r="C8" t="inlineStr">
        <is>
          <t>Payment</t>
        </is>
      </c>
      <c r="D8" t="inlineStr">
        <is>
          <t>327</t>
        </is>
      </c>
      <c r="E8" t="inlineStr"/>
      <c r="F8" t="inlineStr"/>
      <c r="G8" t="inlineStr">
        <is>
          <t>Cash</t>
        </is>
      </c>
      <c r="H8" t="inlineStr"/>
      <c r="I8" t="inlineStr"/>
      <c r="J8" t="inlineStr"/>
      <c r="K8" t="inlineStr"/>
      <c r="L8" t="inlineStr">
        <is>
          <t>Cash-in-Hand</t>
        </is>
      </c>
      <c r="M8" s="4" t="n">
        <v>-10209</v>
      </c>
      <c r="N8" t="inlineStr">
        <is>
          <t>Cr</t>
        </is>
      </c>
      <c r="O8" t="inlineStr"/>
      <c r="Q8" t="inlineStr">
        <is>
          <t>2025-11</t>
        </is>
      </c>
      <c r="R8" s="4" t="n">
        <v>116451</v>
      </c>
    </row>
    <row r="9">
      <c r="A9" t="inlineStr">
        <is>
          <t>1028</t>
        </is>
      </c>
      <c r="B9" s="5" t="n">
        <v>45931</v>
      </c>
      <c r="C9" t="inlineStr">
        <is>
          <t>Payment</t>
        </is>
      </c>
      <c r="D9" t="inlineStr">
        <is>
          <t>341</t>
        </is>
      </c>
      <c r="E9" t="inlineStr"/>
      <c r="F9" t="inlineStr"/>
      <c r="G9" t="inlineStr">
        <is>
          <t>Cash</t>
        </is>
      </c>
      <c r="H9" t="inlineStr"/>
      <c r="I9" t="inlineStr"/>
      <c r="J9" t="inlineStr"/>
      <c r="K9" t="inlineStr"/>
      <c r="L9" t="inlineStr">
        <is>
          <t>Cash-in-Hand</t>
        </is>
      </c>
      <c r="M9" s="4" t="n">
        <v>-11863</v>
      </c>
      <c r="N9" t="inlineStr">
        <is>
          <t>Cr</t>
        </is>
      </c>
      <c r="O9" t="inlineStr"/>
    </row>
    <row r="10">
      <c r="A10" t="inlineStr">
        <is>
          <t>1043</t>
        </is>
      </c>
      <c r="B10" s="5" t="n">
        <v>45931</v>
      </c>
      <c r="C10" t="inlineStr">
        <is>
          <t>Payment</t>
        </is>
      </c>
      <c r="D10" t="inlineStr">
        <is>
          <t>345</t>
        </is>
      </c>
      <c r="E10" t="inlineStr"/>
      <c r="F10" t="inlineStr"/>
      <c r="G10" t="inlineStr">
        <is>
          <t>Cash</t>
        </is>
      </c>
      <c r="H10" t="inlineStr"/>
      <c r="I10" t="inlineStr"/>
      <c r="J10" t="inlineStr"/>
      <c r="K10" t="inlineStr"/>
      <c r="L10" t="inlineStr">
        <is>
          <t>Cash-in-Hand</t>
        </is>
      </c>
      <c r="M10" s="4" t="n">
        <v>-11412</v>
      </c>
      <c r="N10" t="inlineStr">
        <is>
          <t>Cr</t>
        </is>
      </c>
      <c r="O10" t="inlineStr"/>
    </row>
    <row r="11">
      <c r="A11" t="inlineStr">
        <is>
          <t>1061</t>
        </is>
      </c>
      <c r="B11" s="5" t="n">
        <v>45931</v>
      </c>
      <c r="C11" t="inlineStr">
        <is>
          <t>Payment</t>
        </is>
      </c>
      <c r="D11" t="inlineStr">
        <is>
          <t>349</t>
        </is>
      </c>
      <c r="E11" t="inlineStr"/>
      <c r="F11" t="inlineStr"/>
      <c r="G11" t="inlineStr">
        <is>
          <t>Cash</t>
        </is>
      </c>
      <c r="H11" t="inlineStr"/>
      <c r="I11" t="inlineStr"/>
      <c r="J11" t="inlineStr"/>
      <c r="K11" t="inlineStr"/>
      <c r="L11" t="inlineStr">
        <is>
          <t>Cash-in-Hand</t>
        </is>
      </c>
      <c r="M11" s="4" t="n">
        <v>-17917</v>
      </c>
      <c r="N11" t="inlineStr">
        <is>
          <t>Cr</t>
        </is>
      </c>
      <c r="O11" t="inlineStr"/>
    </row>
    <row r="12">
      <c r="A12" t="inlineStr">
        <is>
          <t>1068</t>
        </is>
      </c>
      <c r="B12" s="5" t="n">
        <v>45931</v>
      </c>
      <c r="C12" t="inlineStr">
        <is>
          <t>Payment</t>
        </is>
      </c>
      <c r="D12" t="inlineStr">
        <is>
          <t>352</t>
        </is>
      </c>
      <c r="E12" t="inlineStr"/>
      <c r="F12" t="inlineStr"/>
      <c r="G12" t="inlineStr">
        <is>
          <t>Cash</t>
        </is>
      </c>
      <c r="H12" t="inlineStr"/>
      <c r="I12" t="inlineStr"/>
      <c r="J12" t="inlineStr"/>
      <c r="K12" t="inlineStr"/>
      <c r="L12" t="inlineStr">
        <is>
          <t>Cash-in-Hand</t>
        </is>
      </c>
      <c r="M12" s="4" t="n">
        <v>-20777</v>
      </c>
      <c r="N12" t="inlineStr">
        <is>
          <t>Cr</t>
        </is>
      </c>
      <c r="O12" t="inlineStr"/>
    </row>
    <row r="13">
      <c r="A13" t="inlineStr">
        <is>
          <t>1137</t>
        </is>
      </c>
      <c r="B13" s="5" t="n">
        <v>45962</v>
      </c>
      <c r="C13" t="inlineStr">
        <is>
          <t>Payment</t>
        </is>
      </c>
      <c r="D13" t="inlineStr">
        <is>
          <t>372</t>
        </is>
      </c>
      <c r="E13" t="inlineStr"/>
      <c r="F13" t="inlineStr"/>
      <c r="G13" t="inlineStr">
        <is>
          <t>Cash</t>
        </is>
      </c>
      <c r="H13" t="inlineStr"/>
      <c r="I13" t="inlineStr"/>
      <c r="J13" t="inlineStr"/>
      <c r="K13" t="inlineStr"/>
      <c r="L13" t="inlineStr">
        <is>
          <t>Cash-in-Hand</t>
        </is>
      </c>
      <c r="M13" s="4" t="n">
        <v>-15190</v>
      </c>
      <c r="N13" t="inlineStr">
        <is>
          <t>Cr</t>
        </is>
      </c>
      <c r="O13" t="inlineStr"/>
    </row>
    <row r="14">
      <c r="A14" t="inlineStr">
        <is>
          <t>1143</t>
        </is>
      </c>
      <c r="B14" s="5" t="n">
        <v>45962</v>
      </c>
      <c r="C14" t="inlineStr">
        <is>
          <t>Payment</t>
        </is>
      </c>
      <c r="D14" t="inlineStr">
        <is>
          <t>375</t>
        </is>
      </c>
      <c r="E14" t="inlineStr"/>
      <c r="F14" t="inlineStr"/>
      <c r="G14" t="inlineStr">
        <is>
          <t>Cash</t>
        </is>
      </c>
      <c r="H14" t="inlineStr"/>
      <c r="I14" t="inlineStr"/>
      <c r="J14" t="inlineStr"/>
      <c r="K14" t="inlineStr"/>
      <c r="L14" t="inlineStr">
        <is>
          <t>Cash-in-Hand</t>
        </is>
      </c>
      <c r="M14" s="4" t="n">
        <v>-11308</v>
      </c>
      <c r="N14" t="inlineStr">
        <is>
          <t>Cr</t>
        </is>
      </c>
      <c r="O14" t="inlineStr"/>
    </row>
    <row r="15">
      <c r="A15" t="inlineStr">
        <is>
          <t>1194</t>
        </is>
      </c>
      <c r="B15" s="5" t="n">
        <v>45962</v>
      </c>
      <c r="C15" t="inlineStr">
        <is>
          <t>Payment</t>
        </is>
      </c>
      <c r="D15" t="inlineStr">
        <is>
          <t>393</t>
        </is>
      </c>
      <c r="E15" t="inlineStr"/>
      <c r="F15" t="inlineStr"/>
      <c r="G15" t="inlineStr">
        <is>
          <t>Cash</t>
        </is>
      </c>
      <c r="H15" t="inlineStr"/>
      <c r="I15" t="inlineStr"/>
      <c r="J15" t="inlineStr"/>
      <c r="K15" t="inlineStr"/>
      <c r="L15" t="inlineStr">
        <is>
          <t>Cash-in-Hand</t>
        </is>
      </c>
      <c r="M15" s="4" t="n">
        <v>-23819</v>
      </c>
      <c r="N15" t="inlineStr">
        <is>
          <t>Cr</t>
        </is>
      </c>
      <c r="O15" t="inlineStr"/>
    </row>
    <row r="16">
      <c r="A16" t="inlineStr">
        <is>
          <t>1223</t>
        </is>
      </c>
      <c r="B16" s="5" t="n">
        <v>45962</v>
      </c>
      <c r="C16" t="inlineStr">
        <is>
          <t>Payment</t>
        </is>
      </c>
      <c r="D16" t="inlineStr">
        <is>
          <t>404</t>
        </is>
      </c>
      <c r="E16" t="inlineStr"/>
      <c r="F16" t="inlineStr"/>
      <c r="G16" t="inlineStr">
        <is>
          <t>Cash</t>
        </is>
      </c>
      <c r="H16" t="inlineStr"/>
      <c r="I16" t="inlineStr"/>
      <c r="J16" t="inlineStr"/>
      <c r="K16" t="inlineStr"/>
      <c r="L16" t="inlineStr">
        <is>
          <t>Cash-in-Hand</t>
        </is>
      </c>
      <c r="M16" s="4" t="n">
        <v>-21482</v>
      </c>
      <c r="N16" t="inlineStr">
        <is>
          <t>Cr</t>
        </is>
      </c>
      <c r="O16" t="inlineStr"/>
    </row>
    <row r="17">
      <c r="A17" t="inlineStr">
        <is>
          <t>1239</t>
        </is>
      </c>
      <c r="B17" s="5" t="n">
        <v>45962</v>
      </c>
      <c r="C17" t="inlineStr">
        <is>
          <t>Payment</t>
        </is>
      </c>
      <c r="D17" t="inlineStr">
        <is>
          <t>409</t>
        </is>
      </c>
      <c r="E17" t="inlineStr"/>
      <c r="F17" t="inlineStr"/>
      <c r="G17" t="inlineStr">
        <is>
          <t>Cash</t>
        </is>
      </c>
      <c r="H17" t="inlineStr"/>
      <c r="I17" t="inlineStr"/>
      <c r="J17" t="inlineStr"/>
      <c r="K17" t="inlineStr"/>
      <c r="L17" t="inlineStr">
        <is>
          <t>Cash-in-Hand</t>
        </is>
      </c>
      <c r="M17" s="4" t="n">
        <v>-19783</v>
      </c>
      <c r="N17" t="inlineStr">
        <is>
          <t>Cr</t>
        </is>
      </c>
      <c r="O17" t="inlineStr"/>
    </row>
    <row r="18">
      <c r="A18" t="inlineStr">
        <is>
          <t>1261</t>
        </is>
      </c>
      <c r="B18" s="5" t="n">
        <v>45962</v>
      </c>
      <c r="C18" t="inlineStr">
        <is>
          <t>Payment</t>
        </is>
      </c>
      <c r="D18" t="inlineStr">
        <is>
          <t>412</t>
        </is>
      </c>
      <c r="E18" t="inlineStr"/>
      <c r="F18" t="inlineStr"/>
      <c r="G18" t="inlineStr">
        <is>
          <t>Cash</t>
        </is>
      </c>
      <c r="H18" t="inlineStr"/>
      <c r="I18" t="inlineStr"/>
      <c r="J18" t="inlineStr"/>
      <c r="K18" t="inlineStr"/>
      <c r="L18" t="inlineStr">
        <is>
          <t>Cash-in-Hand</t>
        </is>
      </c>
      <c r="M18" s="4" t="n">
        <v>-11178</v>
      </c>
      <c r="N18" t="inlineStr">
        <is>
          <t>Cr</t>
        </is>
      </c>
      <c r="O18" t="inlineStr"/>
    </row>
    <row r="19">
      <c r="A19" t="inlineStr">
        <is>
          <t>1262</t>
        </is>
      </c>
      <c r="B19" s="5" t="n">
        <v>45962</v>
      </c>
      <c r="C19" t="inlineStr">
        <is>
          <t>Payment</t>
        </is>
      </c>
      <c r="D19" t="inlineStr">
        <is>
          <t>413</t>
        </is>
      </c>
      <c r="E19" t="inlineStr"/>
      <c r="F19" t="inlineStr"/>
      <c r="G19" t="inlineStr">
        <is>
          <t>Cash</t>
        </is>
      </c>
      <c r="H19" t="inlineStr"/>
      <c r="I19" t="inlineStr"/>
      <c r="J19" t="inlineStr"/>
      <c r="K19" t="inlineStr"/>
      <c r="L19" t="inlineStr">
        <is>
          <t>Cash-in-Hand</t>
        </is>
      </c>
      <c r="M19" s="4" t="n">
        <v>-13691</v>
      </c>
      <c r="N19" t="inlineStr">
        <is>
          <t>Cr</t>
        </is>
      </c>
      <c r="O19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Ann 4 - Party-wise Aggregate &amp; Direct Cash Payments</t>
        </is>
      </c>
    </row>
    <row r="2"/>
    <row r="3">
      <c r="A3" s="2" t="inlineStr">
        <is>
          <t>Party_Name</t>
        </is>
      </c>
      <c r="B3" s="2" t="inlineStr">
        <is>
          <t>Amount</t>
        </is>
      </c>
    </row>
    <row r="4">
      <c r="A4" t="inlineStr"/>
      <c r="B4" s="4" t="n">
        <v>1004000</v>
      </c>
    </row>
    <row r="5">
      <c r="A5" t="inlineStr">
        <is>
          <t>Ceramic Point</t>
        </is>
      </c>
      <c r="B5" s="4" t="n">
        <v>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16" customWidth="1" min="4" max="4"/>
    <col width="16" customWidth="1" min="5" max="5"/>
    <col width="16" customWidth="1" min="6" max="6"/>
    <col width="24" customWidth="1" min="7" max="7"/>
    <col width="23" customWidth="1" min="8" max="8"/>
    <col width="38" customWidth="1" min="9" max="9"/>
  </cols>
  <sheetData>
    <row r="1">
      <c r="A1" s="1" t="inlineStr">
        <is>
          <t>Ann 5 - Bank Balances</t>
        </is>
      </c>
    </row>
    <row r="2"/>
    <row r="3">
      <c r="A3" s="2" t="inlineStr">
        <is>
          <t>Ledger</t>
        </is>
      </c>
      <c r="B3" s="2" t="inlineStr">
        <is>
          <t>Parent</t>
        </is>
      </c>
      <c r="C3" s="2" t="inlineStr">
        <is>
          <t>Opening_Net</t>
        </is>
      </c>
      <c r="D3" s="2" t="inlineStr">
        <is>
          <t>Debit</t>
        </is>
      </c>
      <c r="E3" s="2" t="inlineStr">
        <is>
          <t>Credit</t>
        </is>
      </c>
      <c r="F3" s="2" t="inlineStr">
        <is>
          <t>Closing_Net</t>
        </is>
      </c>
      <c r="G3" s="2" t="inlineStr">
        <is>
          <t>As per Bank Statement</t>
        </is>
      </c>
      <c r="H3" s="2" t="inlineStr">
        <is>
          <t>Difference</t>
        </is>
      </c>
      <c r="I3" s="2" t="inlineStr">
        <is>
          <t>Remarks</t>
        </is>
      </c>
    </row>
    <row r="4">
      <c r="A4" t="inlineStr">
        <is>
          <t>HDFC Bank - Current A/c</t>
        </is>
      </c>
      <c r="B4" t="inlineStr">
        <is>
          <t>Bank Accounts</t>
        </is>
      </c>
      <c r="C4" s="4" t="n">
        <v>1425000</v>
      </c>
      <c r="D4" s="4" t="n">
        <v>38056039</v>
      </c>
      <c r="E4" s="4" t="n">
        <v>44929862</v>
      </c>
      <c r="F4" s="4" t="n">
        <v>-5448823</v>
      </c>
      <c r="G4" s="4" t="inlineStr"/>
      <c r="H4" s="4">
        <f>F4-G4</f>
        <v/>
      </c>
      <c r="I4" t="inlineStr"/>
    </row>
    <row r="5">
      <c r="A5" t="inlineStr">
        <is>
          <t>ICICI Bank - Current A/c</t>
        </is>
      </c>
      <c r="B5" t="inlineStr">
        <is>
          <t>Bank Accounts</t>
        </is>
      </c>
      <c r="C5" s="4" t="n">
        <v>340000</v>
      </c>
      <c r="D5" s="4" t="n">
        <v>1354783</v>
      </c>
      <c r="E5" s="4" t="n">
        <v>0</v>
      </c>
      <c r="F5" s="4" t="n">
        <v>1694783</v>
      </c>
      <c r="G5" s="4" t="inlineStr"/>
      <c r="H5" s="4">
        <f>F5-G5</f>
        <v/>
      </c>
      <c r="I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4" customWidth="1" min="3" max="3"/>
    <col width="8" customWidth="1" min="4" max="4"/>
    <col width="9" customWidth="1" min="5" max="5"/>
    <col width="14" customWidth="1" min="6" max="6"/>
  </cols>
  <sheetData>
    <row r="1">
      <c r="A1" s="1" t="inlineStr">
        <is>
          <t>Ann 6 - Sundry Creditor - No Movement</t>
        </is>
      </c>
    </row>
    <row r="2"/>
    <row r="3">
      <c r="A3" s="2" t="inlineStr">
        <is>
          <t>Ledger</t>
        </is>
      </c>
      <c r="B3" s="2" t="inlineStr">
        <is>
          <t>Parent</t>
        </is>
      </c>
      <c r="C3" s="2" t="inlineStr">
        <is>
          <t>Opening_Net</t>
        </is>
      </c>
      <c r="D3" s="2" t="inlineStr">
        <is>
          <t>Debit</t>
        </is>
      </c>
      <c r="E3" s="2" t="inlineStr">
        <is>
          <t>Credit</t>
        </is>
      </c>
      <c r="F3" s="2" t="inlineStr">
        <is>
          <t>Closing_Net</t>
        </is>
      </c>
    </row>
    <row r="4">
      <c r="A4" t="inlineStr">
        <is>
          <t>Hindustan Supplies Co.</t>
        </is>
      </c>
      <c r="B4" t="inlineStr">
        <is>
          <t>Sundry Creditors</t>
        </is>
      </c>
      <c r="C4" s="4" t="n">
        <v>-60000</v>
      </c>
      <c r="D4" s="4" t="n">
        <v>0</v>
      </c>
      <c r="E4" s="4" t="n">
        <v>0</v>
      </c>
      <c r="F4" s="4" t="n">
        <v>-60000</v>
      </c>
    </row>
    <row r="5">
      <c r="A5" t="inlineStr">
        <is>
          <t>Ideal Traders</t>
        </is>
      </c>
      <c r="B5" t="inlineStr">
        <is>
          <t>Sundry Creditors</t>
        </is>
      </c>
      <c r="C5" s="4" t="n">
        <v>-110000</v>
      </c>
      <c r="D5" s="4" t="n">
        <v>0</v>
      </c>
      <c r="E5" s="4" t="n">
        <v>0</v>
      </c>
      <c r="F5" s="4" t="n">
        <v>-110000</v>
      </c>
    </row>
    <row r="6">
      <c r="A6" t="inlineStr">
        <is>
          <t>Rapid Road Carriers (Transporter)</t>
        </is>
      </c>
      <c r="B6" t="inlineStr">
        <is>
          <t>Sundry Creditors</t>
        </is>
      </c>
      <c r="C6" s="4" t="n">
        <v>-35000</v>
      </c>
      <c r="D6" s="4" t="n">
        <v>0</v>
      </c>
      <c r="E6" s="4" t="n">
        <v>0</v>
      </c>
      <c r="F6" s="4" t="n">
        <v>-35000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8" customWidth="1" min="4" max="4"/>
    <col width="9" customWidth="1" min="5" max="5"/>
    <col width="14" customWidth="1" min="6" max="6"/>
  </cols>
  <sheetData>
    <row r="1">
      <c r="A1" s="1" t="inlineStr">
        <is>
          <t>Ann 7 - Sundry Debtor - No Movement</t>
        </is>
      </c>
    </row>
    <row r="2"/>
    <row r="3">
      <c r="A3" s="2" t="inlineStr">
        <is>
          <t>Ledger</t>
        </is>
      </c>
      <c r="B3" s="2" t="inlineStr">
        <is>
          <t>Parent</t>
        </is>
      </c>
      <c r="C3" s="2" t="inlineStr">
        <is>
          <t>Opening_Net</t>
        </is>
      </c>
      <c r="D3" s="2" t="inlineStr">
        <is>
          <t>Debit</t>
        </is>
      </c>
      <c r="E3" s="2" t="inlineStr">
        <is>
          <t>Credit</t>
        </is>
      </c>
      <c r="F3" s="2" t="inlineStr">
        <is>
          <t>Closing_Net</t>
        </is>
      </c>
    </row>
    <row r="4">
      <c r="A4" t="inlineStr">
        <is>
          <t>Kumar &amp; Sons</t>
        </is>
      </c>
      <c r="B4" t="inlineStr">
        <is>
          <t>Sundry Debtors</t>
        </is>
      </c>
      <c r="C4" s="4" t="n">
        <v>120000</v>
      </c>
      <c r="D4" s="4" t="n">
        <v>0</v>
      </c>
      <c r="E4" s="4" t="n">
        <v>0</v>
      </c>
      <c r="F4" s="4" t="n">
        <v>120000</v>
      </c>
    </row>
    <row r="5">
      <c r="A5" t="inlineStr">
        <is>
          <t>Zenith Trading Co.</t>
        </is>
      </c>
      <c r="B5" t="inlineStr">
        <is>
          <t>Sundry Debtors</t>
        </is>
      </c>
      <c r="C5" s="4" t="n">
        <v>85000</v>
      </c>
      <c r="D5" s="4" t="n">
        <v>0</v>
      </c>
      <c r="E5" s="4" t="n">
        <v>0</v>
      </c>
      <c r="F5" s="4" t="n">
        <v>85000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15" customWidth="1" min="4" max="4"/>
    <col width="15" customWidth="1" min="5" max="5"/>
    <col width="14" customWidth="1" min="6" max="6"/>
  </cols>
  <sheetData>
    <row r="1">
      <c r="A1" s="1" t="inlineStr">
        <is>
          <t>Ann 8 - Sundry Creditor - Debit Balance</t>
        </is>
      </c>
    </row>
    <row r="2"/>
    <row r="3">
      <c r="A3" s="2" t="inlineStr">
        <is>
          <t>Ledger</t>
        </is>
      </c>
      <c r="B3" s="2" t="inlineStr">
        <is>
          <t>Parent</t>
        </is>
      </c>
      <c r="C3" s="2" t="inlineStr">
        <is>
          <t>Opening_Net</t>
        </is>
      </c>
      <c r="D3" s="2" t="inlineStr">
        <is>
          <t>Debit</t>
        </is>
      </c>
      <c r="E3" s="2" t="inlineStr">
        <is>
          <t>Credit</t>
        </is>
      </c>
      <c r="F3" s="2" t="inlineStr">
        <is>
          <t>Closing_Net</t>
        </is>
      </c>
    </row>
    <row r="4">
      <c r="A4" t="inlineStr">
        <is>
          <t>Deccan Chemicals</t>
        </is>
      </c>
      <c r="B4" t="inlineStr">
        <is>
          <t>Sundry Creditors</t>
        </is>
      </c>
      <c r="C4" s="4" t="n">
        <v>-190000</v>
      </c>
      <c r="D4" s="4" t="n">
        <v>1690521</v>
      </c>
      <c r="E4" s="4" t="n">
        <v>1218681</v>
      </c>
      <c r="F4" s="4" t="n">
        <v>281840</v>
      </c>
    </row>
    <row r="5">
      <c r="A5" t="inlineStr">
        <is>
          <t>Metro Packaging Co.</t>
        </is>
      </c>
      <c r="B5" t="inlineStr">
        <is>
          <t>Sundry Creditors</t>
        </is>
      </c>
      <c r="C5" s="4" t="n">
        <v>0</v>
      </c>
      <c r="D5" s="4" t="n">
        <v>250000</v>
      </c>
      <c r="E5" s="4" t="n">
        <v>140520</v>
      </c>
      <c r="F5" s="4" t="n">
        <v>109480</v>
      </c>
    </row>
    <row r="6">
      <c r="A6" t="inlineStr">
        <is>
          <t>Pinnacle Cartons</t>
        </is>
      </c>
      <c r="B6" t="inlineStr">
        <is>
          <t>Sundry Creditors</t>
        </is>
      </c>
      <c r="C6" s="4" t="n">
        <v>0</v>
      </c>
      <c r="D6" s="4" t="n">
        <v>150000</v>
      </c>
      <c r="E6" s="4" t="n">
        <v>71319</v>
      </c>
      <c r="F6" s="4" t="n">
        <v>78681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Ann 9 - Sundry Debtor - Credit Balance</t>
        </is>
      </c>
    </row>
    <row r="2"/>
    <row r="3">
      <c r="A3" s="2" t="inlineStr">
        <is>
          <t>Ledger</t>
        </is>
      </c>
      <c r="B3" s="2" t="inlineStr">
        <is>
          <t>Parent</t>
        </is>
      </c>
      <c r="C3" s="2" t="inlineStr">
        <is>
          <t>Opening_Net</t>
        </is>
      </c>
      <c r="D3" s="2" t="inlineStr">
        <is>
          <t>Debit</t>
        </is>
      </c>
      <c r="E3" s="2" t="inlineStr">
        <is>
          <t>Credit</t>
        </is>
      </c>
      <c r="F3" s="2" t="inlineStr">
        <is>
          <t>Closing_Net</t>
        </is>
      </c>
    </row>
    <row r="4">
      <c r="A4" t="inlineStr">
        <is>
          <t>Gopal Sweets &amp; Namkeen</t>
        </is>
      </c>
      <c r="B4" t="inlineStr">
        <is>
          <t>Sundry Debtors</t>
        </is>
      </c>
      <c r="C4" s="4" t="n">
        <v>90000</v>
      </c>
      <c r="D4" s="4" t="n">
        <v>565798</v>
      </c>
      <c r="E4" s="4" t="n">
        <v>713377</v>
      </c>
      <c r="F4" s="4" t="n">
        <v>-57579</v>
      </c>
    </row>
    <row r="5">
      <c r="A5" t="inlineStr">
        <is>
          <t>Mahadev Retail</t>
        </is>
      </c>
      <c r="B5" t="inlineStr">
        <is>
          <t>Sundry Debtors</t>
        </is>
      </c>
      <c r="C5" s="4" t="n">
        <v>0</v>
      </c>
      <c r="D5" s="4" t="n">
        <v>84231</v>
      </c>
      <c r="E5" s="4" t="n">
        <v>100000</v>
      </c>
      <c r="F5" s="4" t="n">
        <v>-15769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1" t="inlineStr">
        <is>
          <t>Ann 10 - Monthly Sales</t>
        </is>
      </c>
    </row>
    <row r="2"/>
    <row r="3">
      <c r="A3" s="2" t="inlineStr">
        <is>
          <t>Month</t>
        </is>
      </c>
      <c r="B3" s="2" t="inlineStr">
        <is>
          <t>Amount</t>
        </is>
      </c>
    </row>
    <row r="4">
      <c r="A4" t="inlineStr">
        <is>
          <t>2025-04</t>
        </is>
      </c>
      <c r="B4" s="4" t="n">
        <v>2176282</v>
      </c>
    </row>
    <row r="5">
      <c r="A5" t="inlineStr">
        <is>
          <t>2025-05</t>
        </is>
      </c>
      <c r="B5" s="4" t="n">
        <v>5960079</v>
      </c>
    </row>
    <row r="6">
      <c r="A6" t="inlineStr">
        <is>
          <t>2025-06</t>
        </is>
      </c>
      <c r="B6" s="4" t="n">
        <v>4331228</v>
      </c>
    </row>
    <row r="7">
      <c r="A7" t="inlineStr">
        <is>
          <t>2025-07</t>
        </is>
      </c>
      <c r="B7" s="4" t="n">
        <v>2955616</v>
      </c>
    </row>
    <row r="8">
      <c r="A8" t="inlineStr">
        <is>
          <t>2025-08</t>
        </is>
      </c>
      <c r="B8" s="4" t="n">
        <v>3155292</v>
      </c>
    </row>
    <row r="9">
      <c r="A9" t="inlineStr">
        <is>
          <t>2025-09</t>
        </is>
      </c>
      <c r="B9" s="4" t="n">
        <v>2275683</v>
      </c>
    </row>
    <row r="10">
      <c r="A10" t="inlineStr">
        <is>
          <t>2025-10</t>
        </is>
      </c>
      <c r="B10" s="4" t="n">
        <v>3105712</v>
      </c>
    </row>
    <row r="11">
      <c r="A11" t="inlineStr">
        <is>
          <t>2025-11</t>
        </is>
      </c>
      <c r="B11" s="4" t="n">
        <v>3176257</v>
      </c>
    </row>
    <row r="12">
      <c r="A12" t="inlineStr">
        <is>
          <t>2025-12</t>
        </is>
      </c>
      <c r="B12" s="4" t="n">
        <v>2464860</v>
      </c>
    </row>
    <row r="13">
      <c r="A13" t="inlineStr">
        <is>
          <t>2026-01</t>
        </is>
      </c>
      <c r="B13" s="4" t="n">
        <v>3441782</v>
      </c>
    </row>
    <row r="14">
      <c r="A14" t="inlineStr">
        <is>
          <t>2026-02</t>
        </is>
      </c>
      <c r="B14" s="4" t="n">
        <v>2774645</v>
      </c>
    </row>
    <row r="15">
      <c r="A15" t="inlineStr">
        <is>
          <t>2026-03</t>
        </is>
      </c>
      <c r="B15" s="4" t="n">
        <v>3968605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1" t="inlineStr">
        <is>
          <t>Ann 11 - Party-wise Sales</t>
        </is>
      </c>
    </row>
    <row r="2"/>
    <row r="3">
      <c r="A3" s="2" t="inlineStr">
        <is>
          <t>Party_Name</t>
        </is>
      </c>
      <c r="B3" s="2" t="inlineStr">
        <is>
          <t>Amount</t>
        </is>
      </c>
      <c r="D3" s="6" t="inlineStr">
        <is>
          <t>Summary Party Name</t>
        </is>
      </c>
      <c r="E3" s="6" t="inlineStr">
        <is>
          <t>Amount</t>
        </is>
      </c>
    </row>
    <row r="4">
      <c r="A4" t="inlineStr">
        <is>
          <t>Cash Sales</t>
        </is>
      </c>
      <c r="B4" s="4" t="n">
        <v>3250426</v>
      </c>
      <c r="D4" t="inlineStr">
        <is>
          <t>Kesari Agencies</t>
        </is>
      </c>
      <c r="E4" s="4" t="n">
        <v>5122400</v>
      </c>
    </row>
    <row r="5">
      <c r="A5" t="inlineStr">
        <is>
          <t>Anand General Store</t>
        </is>
      </c>
      <c r="B5" s="4" t="n">
        <v>565994</v>
      </c>
      <c r="D5" t="inlineStr">
        <is>
          <t>Maruti Wholesale Co.</t>
        </is>
      </c>
      <c r="E5" s="4" t="n">
        <v>5051902</v>
      </c>
    </row>
    <row r="6">
      <c r="A6" t="inlineStr">
        <is>
          <t>Aravali Distributors</t>
        </is>
      </c>
      <c r="B6" s="4" t="n">
        <v>4751105</v>
      </c>
      <c r="D6" t="inlineStr">
        <is>
          <t>Aravali Distributors</t>
        </is>
      </c>
      <c r="E6" s="4" t="n">
        <v>4751105</v>
      </c>
    </row>
    <row r="7">
      <c r="A7" t="inlineStr">
        <is>
          <t>Bharat Kirana &amp; Co.</t>
        </is>
      </c>
      <c r="B7" s="4" t="n">
        <v>519656</v>
      </c>
      <c r="D7" t="inlineStr">
        <is>
          <t>Cash Sales</t>
        </is>
      </c>
      <c r="E7" s="4" t="n">
        <v>3250426</v>
      </c>
    </row>
    <row r="8">
      <c r="A8" t="inlineStr">
        <is>
          <t>Bhawani Enterprises</t>
        </is>
      </c>
      <c r="B8" s="4" t="n">
        <v>1597796</v>
      </c>
      <c r="D8" t="inlineStr">
        <is>
          <t>Pragati Sales Corporation</t>
        </is>
      </c>
      <c r="E8" s="4" t="n">
        <v>2134634</v>
      </c>
    </row>
    <row r="9">
      <c r="A9" t="inlineStr">
        <is>
          <t>Ceramic Point</t>
        </is>
      </c>
      <c r="B9" s="4" t="n">
        <v>585263</v>
      </c>
      <c r="D9" t="inlineStr">
        <is>
          <t>Navkar Stores</t>
        </is>
      </c>
      <c r="E9" s="4" t="n">
        <v>2103891</v>
      </c>
    </row>
    <row r="10">
      <c r="A10" t="inlineStr">
        <is>
          <t>Dev Electricals</t>
        </is>
      </c>
      <c r="B10" s="4" t="n">
        <v>723008</v>
      </c>
      <c r="D10" t="inlineStr">
        <is>
          <t>Himgiri Traders</t>
        </is>
      </c>
      <c r="E10" s="4" t="n">
        <v>2093026</v>
      </c>
    </row>
    <row r="11">
      <c r="A11" t="inlineStr">
        <is>
          <t>Ekta Hardware</t>
        </is>
      </c>
      <c r="B11" s="4" t="n">
        <v>573987</v>
      </c>
      <c r="D11" t="inlineStr">
        <is>
          <t>Shivam Associates</t>
        </is>
      </c>
      <c r="E11" s="4" t="n">
        <v>2074204</v>
      </c>
    </row>
    <row r="12">
      <c r="A12" t="inlineStr">
        <is>
          <t>Fashion Hub</t>
        </is>
      </c>
      <c r="B12" s="4" t="n">
        <v>711492</v>
      </c>
      <c r="D12" t="inlineStr">
        <is>
          <t>Sunrise Traders</t>
        </is>
      </c>
      <c r="E12" s="4" t="n">
        <v>2049987</v>
      </c>
    </row>
    <row r="13">
      <c r="A13" t="inlineStr">
        <is>
          <t>Gopal Sweets &amp; Namkeen</t>
        </is>
      </c>
      <c r="B13" s="4" t="n">
        <v>498364</v>
      </c>
      <c r="D13" t="inlineStr">
        <is>
          <t>Lakshya Trading Co.</t>
        </is>
      </c>
      <c r="E13" s="4" t="n">
        <v>1705717</v>
      </c>
    </row>
    <row r="14">
      <c r="A14" t="inlineStr">
        <is>
          <t>Hari Om Stores</t>
        </is>
      </c>
      <c r="B14" s="4" t="n">
        <v>598526</v>
      </c>
      <c r="D14" t="inlineStr">
        <is>
          <t>Other</t>
        </is>
      </c>
      <c r="E14" s="4" t="n">
        <v>9448749</v>
      </c>
    </row>
    <row r="15">
      <c r="A15" t="inlineStr">
        <is>
          <t>Himgiri Traders</t>
        </is>
      </c>
      <c r="B15" s="4" t="n">
        <v>2093026</v>
      </c>
    </row>
    <row r="16">
      <c r="A16" t="inlineStr">
        <is>
          <t>Indu Traders</t>
        </is>
      </c>
      <c r="B16" s="4" t="n">
        <v>590310</v>
      </c>
    </row>
    <row r="17">
      <c r="A17" t="inlineStr">
        <is>
          <t>Jai Mata Di Traders</t>
        </is>
      </c>
      <c r="B17" s="4" t="n">
        <v>692217</v>
      </c>
    </row>
    <row r="18">
      <c r="A18" t="inlineStr">
        <is>
          <t>Kesari Agencies</t>
        </is>
      </c>
      <c r="B18" s="4" t="n">
        <v>5122400</v>
      </c>
    </row>
    <row r="19">
      <c r="A19" t="inlineStr">
        <is>
          <t>Lakshya Trading Co.</t>
        </is>
      </c>
      <c r="B19" s="4" t="n">
        <v>1705717</v>
      </c>
    </row>
    <row r="20">
      <c r="A20" t="inlineStr">
        <is>
          <t>Mahadev Retail</t>
        </is>
      </c>
      <c r="B20" s="4" t="n">
        <v>71383</v>
      </c>
    </row>
    <row r="21">
      <c r="A21" t="inlineStr">
        <is>
          <t>Maruti Wholesale Co.</t>
        </is>
      </c>
      <c r="B21" s="4" t="n">
        <v>5051902</v>
      </c>
    </row>
    <row r="22">
      <c r="A22" t="inlineStr">
        <is>
          <t>Navkar Stores</t>
        </is>
      </c>
      <c r="B22" s="4" t="n">
        <v>2103891</v>
      </c>
    </row>
    <row r="23">
      <c r="A23" t="inlineStr">
        <is>
          <t>Om Sai Retailers</t>
        </is>
      </c>
      <c r="B23" s="4" t="n">
        <v>1581140</v>
      </c>
    </row>
    <row r="24">
      <c r="A24" t="inlineStr">
        <is>
          <t>Pragati Sales Corporation</t>
        </is>
      </c>
      <c r="B24" s="4" t="n">
        <v>2134634</v>
      </c>
    </row>
    <row r="25">
      <c r="A25" t="inlineStr">
        <is>
          <t>Shivam Associates</t>
        </is>
      </c>
      <c r="B25" s="4" t="n">
        <v>2074204</v>
      </c>
    </row>
    <row r="26">
      <c r="A26" t="inlineStr">
        <is>
          <t>Sunrise Traders</t>
        </is>
      </c>
      <c r="B26" s="4" t="n">
        <v>2049987</v>
      </c>
    </row>
    <row r="27">
      <c r="A27" t="inlineStr">
        <is>
          <t>Vikas Enterprises</t>
        </is>
      </c>
      <c r="B27" s="4" t="n">
        <v>139613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3" customWidth="1" min="3" max="3"/>
    <col width="18" customWidth="1" min="4" max="4"/>
    <col width="33" customWidth="1" min="5" max="5"/>
  </cols>
  <sheetData>
    <row r="1">
      <c r="A1" s="1" t="inlineStr">
        <is>
          <t>Ann 12 - Master Data Validation - PAN &amp; GSTIN</t>
        </is>
      </c>
    </row>
    <row r="2"/>
    <row r="3">
      <c r="A3" s="2" t="inlineStr">
        <is>
          <t>Party_Name</t>
        </is>
      </c>
      <c r="B3" s="2" t="inlineStr">
        <is>
          <t>Party_Group</t>
        </is>
      </c>
      <c r="C3" s="2" t="inlineStr">
        <is>
          <t>PAN</t>
        </is>
      </c>
      <c r="D3" s="2" t="inlineStr">
        <is>
          <t>GSTIN</t>
        </is>
      </c>
      <c r="E3" s="2" t="inlineStr">
        <is>
          <t>Validation_Remarks</t>
        </is>
      </c>
    </row>
    <row r="4">
      <c r="A4" t="inlineStr">
        <is>
          <t>Classic Hardware Mart</t>
        </is>
      </c>
      <c r="B4" t="inlineStr">
        <is>
          <t>Sundry Creditors</t>
        </is>
      </c>
      <c r="C4" t="inlineStr"/>
      <c r="D4" t="inlineStr"/>
      <c r="E4" t="inlineStr">
        <is>
          <t>Missing both PAN and GSTIN</t>
        </is>
      </c>
    </row>
    <row r="5">
      <c r="A5" t="inlineStr">
        <is>
          <t>Indu Traders</t>
        </is>
      </c>
      <c r="B5" t="inlineStr">
        <is>
          <t>Sundry Debtors</t>
        </is>
      </c>
      <c r="C5" t="inlineStr"/>
      <c r="D5" t="inlineStr"/>
      <c r="E5" t="inlineStr">
        <is>
          <t>Missing both PAN and GSTIN</t>
        </is>
      </c>
    </row>
    <row r="6">
      <c r="A6" t="inlineStr">
        <is>
          <t>Friends Enterprise</t>
        </is>
      </c>
      <c r="B6" t="inlineStr">
        <is>
          <t>Sundry Creditors</t>
        </is>
      </c>
      <c r="C6" t="inlineStr"/>
      <c r="D6" t="inlineStr"/>
      <c r="E6" t="inlineStr">
        <is>
          <t>Missing both PAN and GSTIN</t>
        </is>
      </c>
    </row>
    <row r="7">
      <c r="A7" t="inlineStr">
        <is>
          <t>Hari Om Stores</t>
        </is>
      </c>
      <c r="B7" t="inlineStr">
        <is>
          <t>Sundry Debtors</t>
        </is>
      </c>
      <c r="C7" t="inlineStr"/>
      <c r="D7" t="inlineStr"/>
      <c r="E7" t="inlineStr">
        <is>
          <t>Missing both PAN and GSTIN</t>
        </is>
      </c>
    </row>
    <row r="8">
      <c r="A8" t="inlineStr">
        <is>
          <t>Bharat Kirana &amp; Co.</t>
        </is>
      </c>
      <c r="B8" t="inlineStr">
        <is>
          <t>Sundry Debtors</t>
        </is>
      </c>
      <c r="C8" t="inlineStr">
        <is>
          <t>ABDCF1794F</t>
        </is>
      </c>
      <c r="D8" t="inlineStr">
        <is>
          <t>24ABDCF1794F1ZO</t>
        </is>
      </c>
      <c r="E8" t="inlineStr">
        <is>
          <t>Valid</t>
        </is>
      </c>
    </row>
    <row r="9">
      <c r="A9" t="inlineStr">
        <is>
          <t>Bhawani Enterprises</t>
        </is>
      </c>
      <c r="B9" t="inlineStr">
        <is>
          <t>Sundry Debtors</t>
        </is>
      </c>
      <c r="C9" t="inlineStr"/>
      <c r="D9" t="inlineStr"/>
      <c r="E9" t="inlineStr">
        <is>
          <t>Missing both PAN and GSTIN</t>
        </is>
      </c>
    </row>
    <row r="10">
      <c r="A10" t="inlineStr">
        <is>
          <t>Bharat Industries Pvt. Ltd.</t>
        </is>
      </c>
      <c r="B10" t="inlineStr">
        <is>
          <t>Sundry Creditors</t>
        </is>
      </c>
      <c r="C10" t="inlineStr"/>
      <c r="D10" t="inlineStr"/>
      <c r="E10" t="inlineStr">
        <is>
          <t>Missing both PAN and GSTIN</t>
        </is>
      </c>
    </row>
    <row r="11">
      <c r="A11" t="inlineStr">
        <is>
          <t>Varun Packaging Industries</t>
        </is>
      </c>
      <c r="B11" t="inlineStr">
        <is>
          <t>Sundry Creditors</t>
        </is>
      </c>
      <c r="C11" t="inlineStr"/>
      <c r="D11" t="inlineStr"/>
      <c r="E11" t="inlineStr">
        <is>
          <t>Missing both PAN and GSTIN</t>
        </is>
      </c>
    </row>
    <row r="12">
      <c r="A12" t="inlineStr">
        <is>
          <t>Jai Mata Di Traders</t>
        </is>
      </c>
      <c r="B12" t="inlineStr">
        <is>
          <t>Sundry Debtors</t>
        </is>
      </c>
      <c r="C12" t="inlineStr"/>
      <c r="D12" t="inlineStr"/>
      <c r="E12" t="inlineStr">
        <is>
          <t>Missing both PAN and GSTIN</t>
        </is>
      </c>
    </row>
    <row r="13">
      <c r="A13" t="inlineStr">
        <is>
          <t>Om Sai Retailers</t>
        </is>
      </c>
      <c r="B13" t="inlineStr">
        <is>
          <t>Sundry Debtors</t>
        </is>
      </c>
      <c r="C13" t="inlineStr"/>
      <c r="D13" t="inlineStr"/>
      <c r="E13" t="inlineStr">
        <is>
          <t>Missing both PAN and GSTIN</t>
        </is>
      </c>
    </row>
    <row r="14">
      <c r="A14" t="inlineStr">
        <is>
          <t>Raj Foods &amp; Beverages</t>
        </is>
      </c>
      <c r="B14" t="inlineStr">
        <is>
          <t>Sundry Creditors</t>
        </is>
      </c>
      <c r="C14" t="inlineStr"/>
      <c r="D14" t="inlineStr"/>
      <c r="E14" t="inlineStr">
        <is>
          <t>Missing both PAN and GSTIN</t>
        </is>
      </c>
    </row>
    <row r="15">
      <c r="A15" t="inlineStr">
        <is>
          <t>Kesari Agencies</t>
        </is>
      </c>
      <c r="B15" t="inlineStr">
        <is>
          <t>Sundry Debtors</t>
        </is>
      </c>
      <c r="C15" t="inlineStr"/>
      <c r="D15" t="inlineStr"/>
      <c r="E15" t="inlineStr">
        <is>
          <t>Missing both PAN and GSTIN</t>
        </is>
      </c>
    </row>
    <row r="16">
      <c r="A16" t="inlineStr">
        <is>
          <t>Sunrise Traders</t>
        </is>
      </c>
      <c r="B16" t="inlineStr">
        <is>
          <t>Sundry Debtors</t>
        </is>
      </c>
      <c r="C16" t="inlineStr"/>
      <c r="D16" t="inlineStr"/>
      <c r="E16" t="inlineStr">
        <is>
          <t>Missing both PAN and GSTIN</t>
        </is>
      </c>
    </row>
    <row r="17">
      <c r="A17" t="inlineStr">
        <is>
          <t>National Agro Products</t>
        </is>
      </c>
      <c r="B17" t="inlineStr">
        <is>
          <t>Sundry Creditors</t>
        </is>
      </c>
      <c r="C17" t="inlineStr"/>
      <c r="D17" t="inlineStr"/>
      <c r="E17" t="inlineStr">
        <is>
          <t>Missing both PAN and GSTIN</t>
        </is>
      </c>
    </row>
    <row r="18">
      <c r="A18" t="inlineStr">
        <is>
          <t>Eastern Traders</t>
        </is>
      </c>
      <c r="B18" t="inlineStr">
        <is>
          <t>Sundry Creditors</t>
        </is>
      </c>
      <c r="C18" t="inlineStr"/>
      <c r="D18" t="inlineStr"/>
      <c r="E18" t="inlineStr">
        <is>
          <t>Missing both PAN and GSTIN</t>
        </is>
      </c>
    </row>
    <row r="19">
      <c r="A19" t="inlineStr">
        <is>
          <t>Gopal Sweets &amp; Namkeen</t>
        </is>
      </c>
      <c r="B19" t="inlineStr">
        <is>
          <t>Sundry Debtors</t>
        </is>
      </c>
      <c r="C19" t="inlineStr"/>
      <c r="D19" t="inlineStr"/>
      <c r="E19" t="inlineStr">
        <is>
          <t>Missing both PAN and GSTIN</t>
        </is>
      </c>
    </row>
    <row r="20">
      <c r="A20" t="inlineStr">
        <is>
          <t>Deep Industries</t>
        </is>
      </c>
      <c r="B20" t="inlineStr">
        <is>
          <t>Sundry Creditors</t>
        </is>
      </c>
      <c r="C20" t="inlineStr"/>
      <c r="D20" t="inlineStr"/>
      <c r="E20" t="inlineStr">
        <is>
          <t>Missing both PAN and GSTIN</t>
        </is>
      </c>
    </row>
    <row r="21">
      <c r="A21" t="inlineStr">
        <is>
          <t>Aravali Distributors</t>
        </is>
      </c>
      <c r="B21" t="inlineStr">
        <is>
          <t>Sundry Debtors</t>
        </is>
      </c>
      <c r="C21" t="inlineStr"/>
      <c r="D21" t="inlineStr"/>
      <c r="E21" t="inlineStr">
        <is>
          <t>Missing both PAN and GSTIN</t>
        </is>
      </c>
    </row>
    <row r="22">
      <c r="A22" t="inlineStr">
        <is>
          <t>Navkar Stores</t>
        </is>
      </c>
      <c r="B22" t="inlineStr">
        <is>
          <t>Sundry Debtors</t>
        </is>
      </c>
      <c r="C22" t="inlineStr"/>
      <c r="D22" t="inlineStr"/>
      <c r="E22" t="inlineStr">
        <is>
          <t>Missing both PAN and GSTIN</t>
        </is>
      </c>
    </row>
    <row r="23">
      <c r="A23" t="inlineStr">
        <is>
          <t>Lakshya Trading Co.</t>
        </is>
      </c>
      <c r="B23" t="inlineStr">
        <is>
          <t>Sundry Debtors</t>
        </is>
      </c>
      <c r="C23" t="inlineStr"/>
      <c r="D23" t="inlineStr"/>
      <c r="E23" t="inlineStr">
        <is>
          <t>Missing both PAN and GSTIN</t>
        </is>
      </c>
    </row>
    <row r="24">
      <c r="A24" t="inlineStr">
        <is>
          <t>Sai Krupa Suppliers</t>
        </is>
      </c>
      <c r="B24" t="inlineStr">
        <is>
          <t>Sundry Creditors</t>
        </is>
      </c>
      <c r="C24" t="inlineStr"/>
      <c r="D24" t="inlineStr"/>
      <c r="E24" t="inlineStr">
        <is>
          <t>Missing both PAN and GSTIN</t>
        </is>
      </c>
    </row>
    <row r="25">
      <c r="A25" t="inlineStr">
        <is>
          <t>Triveni Overseas</t>
        </is>
      </c>
      <c r="B25" t="inlineStr">
        <is>
          <t>Sundry Creditors</t>
        </is>
      </c>
      <c r="C25" t="inlineStr"/>
      <c r="D25" t="inlineStr"/>
      <c r="E25" t="inlineStr">
        <is>
          <t>Missing both PAN and GSTIN</t>
        </is>
      </c>
    </row>
    <row r="26">
      <c r="A26" t="inlineStr">
        <is>
          <t>Deccan Chemicals</t>
        </is>
      </c>
      <c r="B26" t="inlineStr">
        <is>
          <t>Sundry Creditors</t>
        </is>
      </c>
      <c r="C26" t="inlineStr"/>
      <c r="D26" t="inlineStr"/>
      <c r="E26" t="inlineStr">
        <is>
          <t>Missing both PAN and GSTIN</t>
        </is>
      </c>
    </row>
    <row r="27">
      <c r="A27" t="inlineStr">
        <is>
          <t>Unsecured Loan - Relative</t>
        </is>
      </c>
      <c r="B27" t="inlineStr">
        <is>
          <t>Unsecured Loans</t>
        </is>
      </c>
      <c r="C27" t="inlineStr"/>
      <c r="D27" t="inlineStr"/>
      <c r="E27" t="inlineStr">
        <is>
          <t>Missing both PAN and GSTIN</t>
        </is>
      </c>
    </row>
    <row r="28">
      <c r="A28" t="inlineStr">
        <is>
          <t>Fashion Hub</t>
        </is>
      </c>
      <c r="B28" t="inlineStr">
        <is>
          <t>Sundry Debtors</t>
        </is>
      </c>
      <c r="C28" t="inlineStr"/>
      <c r="D28" t="inlineStr"/>
      <c r="E28" t="inlineStr">
        <is>
          <t>Missing both PAN and GSTIN</t>
        </is>
      </c>
    </row>
    <row r="29">
      <c r="A29" t="inlineStr">
        <is>
          <t>Anand General Store</t>
        </is>
      </c>
      <c r="B29" t="inlineStr">
        <is>
          <t>Sundry Debtors</t>
        </is>
      </c>
      <c r="C29" t="inlineStr"/>
      <c r="D29" t="inlineStr"/>
      <c r="E29" t="inlineStr">
        <is>
          <t>Missing both PAN and GSTIN</t>
        </is>
      </c>
    </row>
    <row r="30">
      <c r="A30" t="inlineStr">
        <is>
          <t>Ceramic Point</t>
        </is>
      </c>
      <c r="B30" t="inlineStr">
        <is>
          <t>Sundry Debtors</t>
        </is>
      </c>
      <c r="C30" t="inlineStr"/>
      <c r="D30" t="inlineStr"/>
      <c r="E30" t="inlineStr">
        <is>
          <t>Missing both PAN and GSTIN</t>
        </is>
      </c>
    </row>
    <row r="31">
      <c r="A31" t="inlineStr">
        <is>
          <t>Balaji Plastics</t>
        </is>
      </c>
      <c r="B31" t="inlineStr">
        <is>
          <t>Sundry Creditors</t>
        </is>
      </c>
      <c r="C31" t="inlineStr"/>
      <c r="D31" t="inlineStr"/>
      <c r="E31" t="inlineStr">
        <is>
          <t>Missing both PAN and GSTIN</t>
        </is>
      </c>
    </row>
    <row r="32">
      <c r="A32" t="inlineStr">
        <is>
          <t>Shivam Associates</t>
        </is>
      </c>
      <c r="B32" t="inlineStr">
        <is>
          <t>Sundry Debtors</t>
        </is>
      </c>
      <c r="C32" t="inlineStr"/>
      <c r="D32" t="inlineStr"/>
      <c r="E32" t="inlineStr">
        <is>
          <t>Missing both PAN and GSTIN</t>
        </is>
      </c>
    </row>
    <row r="33">
      <c r="A33" t="inlineStr">
        <is>
          <t>Gupta &amp; Brothers</t>
        </is>
      </c>
      <c r="B33" t="inlineStr">
        <is>
          <t>Sundry Creditors</t>
        </is>
      </c>
      <c r="C33" t="inlineStr"/>
      <c r="D33" t="inlineStr"/>
      <c r="E33" t="inlineStr">
        <is>
          <t>Missing both PAN and GSTIN</t>
        </is>
      </c>
    </row>
    <row r="34">
      <c r="A34" t="inlineStr">
        <is>
          <t>Himgiri Traders</t>
        </is>
      </c>
      <c r="B34" t="inlineStr">
        <is>
          <t>Sundry Debtors</t>
        </is>
      </c>
      <c r="C34" t="inlineStr"/>
      <c r="D34" t="inlineStr"/>
      <c r="E34" t="inlineStr">
        <is>
          <t>Missing both PAN and GSTIN</t>
        </is>
      </c>
    </row>
    <row r="35">
      <c r="A35" t="inlineStr">
        <is>
          <t>Vikas Enterprises</t>
        </is>
      </c>
      <c r="B35" t="inlineStr">
        <is>
          <t>Sundry Debtors</t>
        </is>
      </c>
      <c r="C35" t="inlineStr"/>
      <c r="D35" t="inlineStr"/>
      <c r="E35" t="inlineStr">
        <is>
          <t>Missing both PAN and GSTIN</t>
        </is>
      </c>
    </row>
    <row r="36">
      <c r="A36" t="inlineStr">
        <is>
          <t>Ekta Hardware</t>
        </is>
      </c>
      <c r="B36" t="inlineStr">
        <is>
          <t>Sundry Debtors</t>
        </is>
      </c>
      <c r="C36" t="inlineStr"/>
      <c r="D36" t="inlineStr"/>
      <c r="E36" t="inlineStr">
        <is>
          <t>Missing both PAN and GSTIN</t>
        </is>
      </c>
    </row>
    <row r="37">
      <c r="A37" t="inlineStr">
        <is>
          <t>Ganesh Polymers</t>
        </is>
      </c>
      <c r="B37" t="inlineStr">
        <is>
          <t>Sundry Creditors</t>
        </is>
      </c>
      <c r="C37" t="inlineStr"/>
      <c r="D37" t="inlineStr"/>
      <c r="E37" t="inlineStr">
        <is>
          <t>Missing both PAN and GSTIN</t>
        </is>
      </c>
    </row>
    <row r="38">
      <c r="A38" t="inlineStr">
        <is>
          <t>Dev Electricals</t>
        </is>
      </c>
      <c r="B38" t="inlineStr">
        <is>
          <t>Sundry Debtors</t>
        </is>
      </c>
      <c r="C38" t="inlineStr"/>
      <c r="D38" t="inlineStr"/>
      <c r="E38" t="inlineStr">
        <is>
          <t>Missing both PAN and GSTIN</t>
        </is>
      </c>
    </row>
    <row r="39">
      <c r="A39" t="inlineStr">
        <is>
          <t>Pragati Sales Corporation</t>
        </is>
      </c>
      <c r="B39" t="inlineStr">
        <is>
          <t>Sundry Debtors</t>
        </is>
      </c>
      <c r="C39" t="inlineStr"/>
      <c r="D39" t="inlineStr"/>
      <c r="E39" t="inlineStr">
        <is>
          <t>Missing both PAN and GSTIN</t>
        </is>
      </c>
    </row>
    <row r="40">
      <c r="A40" t="inlineStr">
        <is>
          <t>Maruti Wholesale Co.</t>
        </is>
      </c>
      <c r="B40" t="inlineStr">
        <is>
          <t>Sundry Debtors</t>
        </is>
      </c>
      <c r="C40" t="inlineStr"/>
      <c r="D40" t="inlineStr"/>
      <c r="E40" t="inlineStr">
        <is>
          <t>Missing both PAN and GSTIN</t>
        </is>
      </c>
    </row>
    <row r="41">
      <c r="A41" t="inlineStr">
        <is>
          <t>Western Mills Ltd.</t>
        </is>
      </c>
      <c r="B41" t="inlineStr">
        <is>
          <t>Sundry Creditors</t>
        </is>
      </c>
      <c r="C41" t="inlineStr"/>
      <c r="D41" t="inlineStr"/>
      <c r="E41" t="inlineStr">
        <is>
          <t>Missing both PAN and GSTIN</t>
        </is>
      </c>
    </row>
    <row r="42">
      <c r="A42" t="inlineStr">
        <is>
          <t>Metro Packaging Co.</t>
        </is>
      </c>
      <c r="B42" t="inlineStr">
        <is>
          <t>Sundry Creditors</t>
        </is>
      </c>
      <c r="C42" t="inlineStr"/>
      <c r="D42" t="inlineStr"/>
      <c r="E42" t="inlineStr">
        <is>
          <t>Missing both PAN and GSTIN</t>
        </is>
      </c>
    </row>
    <row r="43">
      <c r="A43" t="inlineStr">
        <is>
          <t>Pinnacle Cartons</t>
        </is>
      </c>
      <c r="B43" t="inlineStr">
        <is>
          <t>Sundry Creditors</t>
        </is>
      </c>
      <c r="C43" t="inlineStr"/>
      <c r="D43" t="inlineStr"/>
      <c r="E43" t="inlineStr">
        <is>
          <t>Missing both PAN and GSTIN</t>
        </is>
      </c>
    </row>
    <row r="44">
      <c r="A44" t="inlineStr">
        <is>
          <t>Creative Ads &amp; Media</t>
        </is>
      </c>
      <c r="B44" t="inlineStr">
        <is>
          <t>Sundry Creditors</t>
        </is>
      </c>
      <c r="C44" t="inlineStr"/>
      <c r="D44" t="inlineStr"/>
      <c r="E44" t="inlineStr">
        <is>
          <t>Missing both PAN and GSTIN</t>
        </is>
      </c>
    </row>
    <row r="45">
      <c r="A45" t="inlineStr">
        <is>
          <t>Alpha Stationers</t>
        </is>
      </c>
      <c r="B45" t="inlineStr">
        <is>
          <t>Sundry Creditors</t>
        </is>
      </c>
      <c r="C45" t="inlineStr"/>
      <c r="D45" t="inlineStr"/>
      <c r="E45" t="inlineStr">
        <is>
          <t>Missing both PAN and GSTIN</t>
        </is>
      </c>
    </row>
    <row r="46">
      <c r="A46" t="inlineStr">
        <is>
          <t>R. K. Gupta &amp; Associates (CA)</t>
        </is>
      </c>
      <c r="B46" t="inlineStr">
        <is>
          <t>Sundry Creditors</t>
        </is>
      </c>
      <c r="C46" t="inlineStr"/>
      <c r="D46" t="inlineStr"/>
      <c r="E46" t="inlineStr">
        <is>
          <t>Missing both PAN and GSTIN</t>
        </is>
      </c>
    </row>
    <row r="47">
      <c r="A47" t="inlineStr">
        <is>
          <t>Mahadev Retail</t>
        </is>
      </c>
      <c r="B47" t="inlineStr">
        <is>
          <t>Sundry Debtors</t>
        </is>
      </c>
      <c r="C47" t="inlineStr"/>
      <c r="D47" t="inlineStr"/>
      <c r="E47" t="inlineStr">
        <is>
          <t>Missing both PAN and GSTIN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9" customWidth="1" min="3" max="3"/>
    <col width="17" customWidth="1" min="4" max="4"/>
    <col width="18" customWidth="1" min="5" max="5"/>
  </cols>
  <sheetData>
    <row r="1">
      <c r="A1" s="1" t="inlineStr">
        <is>
          <t>Ann 13 - Clause 31a and 31c</t>
        </is>
      </c>
    </row>
    <row r="2"/>
    <row r="3">
      <c r="A3" s="2" t="inlineStr">
        <is>
          <t>Party Name</t>
        </is>
      </c>
      <c r="B3" s="2" t="inlineStr">
        <is>
          <t>PAN</t>
        </is>
      </c>
      <c r="C3" s="2" t="inlineStr">
        <is>
          <t>Total Repayments</t>
        </is>
      </c>
      <c r="D3" s="2" t="inlineStr">
        <is>
          <t>Total Proceeds</t>
        </is>
      </c>
      <c r="E3" s="2" t="inlineStr">
        <is>
          <t>Max Outstanding</t>
        </is>
      </c>
    </row>
    <row r="4">
      <c r="A4" t="inlineStr">
        <is>
          <t>Unsecured Loan - Relative</t>
        </is>
      </c>
      <c r="B4" t="inlineStr"/>
      <c r="C4" s="4" t="n">
        <v>339486</v>
      </c>
      <c r="D4" s="4" t="n">
        <v>0</v>
      </c>
      <c r="E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2026-10-14T07:45:20Z</dcterms:created>
  <dcterms:modified xsi:type="dcterms:W3CDTF">2026-10-14T07:45:20Z</dcterms:modified>
</cp:coreProperties>
</file>